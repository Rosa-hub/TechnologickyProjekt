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C:\Users\HP\MATLAB\Projects\TechnologickyProjekt\Solution\Connection\"/>
    </mc:Choice>
  </mc:AlternateContent>
  <xr:revisionPtr revIDLastSave="0" documentId="13_ncr:1_{C47D4731-608B-4E42-AE37-7C3B81F2B2A7}" xr6:coauthVersionLast="41" xr6:coauthVersionMax="41" xr10:uidLastSave="{00000000-0000-0000-0000-000000000000}"/>
  <bookViews>
    <workbookView xWindow="4404" yWindow="3396" windowWidth="17280" windowHeight="8964" activeTab="1" xr2:uid="{A950E9C7-AACD-4CD7-8390-93E976DE2650}"/>
  </bookViews>
  <sheets>
    <sheet name="Template" sheetId="1" r:id="rId1"/>
    <sheet name="Run1" sheetId="2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" i="2" l="1"/>
  <c r="I16" i="2"/>
  <c r="I15" i="2"/>
  <c r="I14" i="2"/>
  <c r="I13" i="2"/>
  <c r="J13" i="2" s="1"/>
  <c r="I12" i="2"/>
  <c r="I10" i="2"/>
  <c r="I9" i="2"/>
  <c r="I8" i="2"/>
  <c r="I7" i="2"/>
  <c r="I6" i="2"/>
  <c r="H17" i="2"/>
  <c r="H16" i="2"/>
  <c r="H15" i="2"/>
  <c r="H14" i="2"/>
  <c r="J14" i="2" s="1"/>
  <c r="H13" i="2"/>
  <c r="H12" i="2"/>
  <c r="H10" i="2"/>
  <c r="H9" i="2"/>
  <c r="H8" i="2"/>
  <c r="H7" i="2"/>
  <c r="H6" i="2"/>
  <c r="G29" i="2"/>
  <c r="I29" i="2" s="1"/>
  <c r="G28" i="2"/>
  <c r="G27" i="2"/>
  <c r="G26" i="2"/>
  <c r="G24" i="2"/>
  <c r="I24" i="2" s="1"/>
  <c r="G23" i="2"/>
  <c r="G22" i="2"/>
  <c r="G21" i="2"/>
  <c r="I21" i="2" s="1"/>
  <c r="G20" i="2"/>
  <c r="I20" i="2" s="1"/>
  <c r="G17" i="2"/>
  <c r="G16" i="2"/>
  <c r="G15" i="2"/>
  <c r="J15" i="2" s="1"/>
  <c r="G14" i="2"/>
  <c r="G13" i="2"/>
  <c r="G12" i="2"/>
  <c r="J12" i="2" s="1"/>
  <c r="G10" i="2"/>
  <c r="J10" i="2" s="1"/>
  <c r="G9" i="2"/>
  <c r="J9" i="2" s="1"/>
  <c r="G8" i="2"/>
  <c r="G7" i="2"/>
  <c r="J7" i="2" s="1"/>
  <c r="G6" i="2"/>
  <c r="J6" i="2" s="1"/>
  <c r="I28" i="2"/>
  <c r="I27" i="2"/>
  <c r="I26" i="2"/>
  <c r="I25" i="2"/>
  <c r="I23" i="2"/>
  <c r="I22" i="2"/>
  <c r="J18" i="2"/>
  <c r="J17" i="2"/>
  <c r="J16" i="2"/>
  <c r="J11" i="2"/>
  <c r="J8" i="2"/>
  <c r="J11" i="1" l="1"/>
  <c r="J7" i="1"/>
  <c r="J8" i="1"/>
  <c r="J9" i="1"/>
  <c r="J10" i="1"/>
  <c r="J12" i="1"/>
  <c r="J13" i="1"/>
  <c r="J14" i="1"/>
  <c r="J15" i="1"/>
  <c r="J16" i="1"/>
  <c r="J17" i="1"/>
  <c r="J18" i="1"/>
  <c r="J6" i="1"/>
  <c r="I21" i="1" l="1"/>
  <c r="I22" i="1"/>
  <c r="I23" i="1"/>
  <c r="I24" i="1"/>
  <c r="I25" i="1"/>
  <c r="I26" i="1"/>
  <c r="I27" i="1"/>
  <c r="I28" i="1"/>
  <c r="I29" i="1"/>
  <c r="I20" i="1"/>
</calcChain>
</file>

<file path=xl/sharedStrings.xml><?xml version="1.0" encoding="utf-8"?>
<sst xmlns="http://schemas.openxmlformats.org/spreadsheetml/2006/main" count="118" uniqueCount="52">
  <si>
    <t>Name</t>
  </si>
  <si>
    <t>Fermentor</t>
  </si>
  <si>
    <t>Unit Cost</t>
  </si>
  <si>
    <t>Process Unit</t>
  </si>
  <si>
    <t>Quantity</t>
  </si>
  <si>
    <t>No Units</t>
  </si>
  <si>
    <t>Power</t>
  </si>
  <si>
    <t>Ref. Power</t>
  </si>
  <si>
    <t>Kar Column1</t>
  </si>
  <si>
    <t>Kar Column2</t>
  </si>
  <si>
    <t>Reference</t>
  </si>
  <si>
    <t>Spec.</t>
  </si>
  <si>
    <t>Stream Type</t>
  </si>
  <si>
    <t>Process Stream</t>
  </si>
  <si>
    <t>Utility</t>
  </si>
  <si>
    <t>Product</t>
  </si>
  <si>
    <t>Absorbsion Column</t>
  </si>
  <si>
    <t>StaticMixer</t>
  </si>
  <si>
    <t>Decantere</t>
  </si>
  <si>
    <t>Storage Tank1</t>
  </si>
  <si>
    <t>Storage Tank2</t>
  </si>
  <si>
    <t>MF Membrane</t>
  </si>
  <si>
    <t>Agittated Vessel</t>
  </si>
  <si>
    <t>Hydrolisate</t>
  </si>
  <si>
    <t>LentiKats</t>
  </si>
  <si>
    <t>Dodecane</t>
  </si>
  <si>
    <t>CyphosIL-104</t>
  </si>
  <si>
    <t>Water</t>
  </si>
  <si>
    <t>SPD+Recup-Unit</t>
  </si>
  <si>
    <t>SPD+Recup-Util</t>
  </si>
  <si>
    <t>Butyric Acid</t>
  </si>
  <si>
    <t>Evaporator</t>
  </si>
  <si>
    <t>H2SO4</t>
  </si>
  <si>
    <t>NH3</t>
  </si>
  <si>
    <t>Propil-alcohol</t>
  </si>
  <si>
    <t>Time [h]</t>
  </si>
  <si>
    <t>Unit Cost [€/unit]</t>
  </si>
  <si>
    <t>Stream Cost [€/t]</t>
  </si>
  <si>
    <t>Utility Cost [€/h]</t>
  </si>
  <si>
    <t>Flow rate [t/h]</t>
  </si>
  <si>
    <t>Run. No</t>
  </si>
  <si>
    <t>Date</t>
  </si>
  <si>
    <t>Param</t>
  </si>
  <si>
    <t>YE1</t>
  </si>
  <si>
    <t>YE2</t>
  </si>
  <si>
    <t>YSPD</t>
  </si>
  <si>
    <t>mBA_Fer</t>
  </si>
  <si>
    <r>
      <t>Cost [</t>
    </r>
    <r>
      <rPr>
        <b/>
        <sz val="11"/>
        <color theme="1"/>
        <rFont val="Calibri"/>
        <family val="2"/>
        <charset val="238"/>
      </rPr>
      <t>€</t>
    </r>
    <r>
      <rPr>
        <b/>
        <sz val="11"/>
        <color theme="1"/>
        <rFont val="Arial"/>
        <family val="2"/>
        <charset val="238"/>
      </rPr>
      <t>]</t>
    </r>
  </si>
  <si>
    <t>Cost Index</t>
  </si>
  <si>
    <t>SUM</t>
  </si>
  <si>
    <t>Run1</t>
  </si>
  <si>
    <t>15.12.2019 20:23:01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</si>
</sst>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  <charset val="238"/>
    </font>
    <font>
      <b/>
      <i/>
      <sz val="11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i/>
      <sz val="11"/>
      <color theme="1"/>
      <name val="Arial"/>
      <family val="2"/>
      <charset val="238"/>
    </font>
    <font>
      <b/>
      <i/>
      <u/>
      <sz val="11"/>
      <color theme="1"/>
      <name val="Arial"/>
      <family val="2"/>
      <charset val="238"/>
    </font>
    <font>
      <b/>
      <sz val="11"/>
      <color theme="1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3" fillId="0" borderId="1" xfId="0" applyFont="1" applyBorder="1"/>
    <xf numFmtId="0" fontId="2" fillId="0" borderId="2" xfId="0" applyFont="1" applyBorder="1"/>
    <xf numFmtId="0" fontId="2" fillId="0" borderId="1" xfId="0" applyFont="1" applyBorder="1"/>
    <xf numFmtId="0" fontId="1" fillId="0" borderId="3" xfId="0" applyFont="1" applyBorder="1"/>
    <xf numFmtId="0" fontId="1" fillId="0" borderId="0" xfId="0" applyFont="1" applyBorder="1"/>
    <xf numFmtId="0" fontId="1" fillId="0" borderId="1" xfId="0" applyFont="1" applyBorder="1"/>
    <xf numFmtId="2" fontId="1" fillId="0" borderId="0" xfId="0" applyNumberFormat="1" applyFont="1"/>
    <xf numFmtId="0" fontId="3" fillId="0" borderId="1" xfId="0" applyFont="1" applyBorder="1" applyAlignment="1">
      <alignment horizontal="center"/>
    </xf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E4C1D-5FB1-4DC2-BF28-2EC9C273B2C5}">
  <sheetPr codeName="Hárok1"/>
  <dimension ref="A1:J29"/>
  <sheetViews>
    <sheetView topLeftCell="A2" workbookViewId="0">
      <selection activeCell="G21" sqref="G21"/>
    </sheetView>
  </sheetViews>
  <sheetFormatPr defaultRowHeight="13.8" x14ac:dyDescent="0.25"/>
  <cols>
    <col min="1" max="1" width="10.109375" style="1" bestFit="1" customWidth="1"/>
    <col min="2" max="2" width="8.88671875" style="1"/>
    <col min="3" max="4" width="18.44140625" style="1" bestFit="1" customWidth="1"/>
    <col min="5" max="5" width="15" style="1" bestFit="1" customWidth="1"/>
    <col min="6" max="6" width="13.77734375" style="1" bestFit="1" customWidth="1"/>
    <col min="7" max="7" width="18.109375" style="1" bestFit="1" customWidth="1"/>
    <col min="8" max="8" width="12" style="1" bestFit="1" customWidth="1"/>
    <col min="9" max="9" width="17.21875" style="1" bestFit="1" customWidth="1"/>
    <col min="10" max="10" width="18.44140625" style="1" bestFit="1" customWidth="1"/>
    <col min="11" max="16384" width="8.88671875" style="1"/>
  </cols>
  <sheetData>
    <row r="1" spans="1:10" x14ac:dyDescent="0.25">
      <c r="A1" s="2" t="s">
        <v>40</v>
      </c>
    </row>
    <row r="2" spans="1:10" x14ac:dyDescent="0.25">
      <c r="A2" s="2" t="s">
        <v>41</v>
      </c>
    </row>
    <row r="4" spans="1:10" ht="14.4" x14ac:dyDescent="0.3">
      <c r="A4" s="4" t="s">
        <v>42</v>
      </c>
      <c r="D4" s="5" t="s">
        <v>0</v>
      </c>
      <c r="E4" s="5" t="s">
        <v>4</v>
      </c>
      <c r="F4" s="5" t="s">
        <v>11</v>
      </c>
      <c r="G4" s="12" t="s">
        <v>10</v>
      </c>
      <c r="H4" s="12"/>
      <c r="I4" s="12"/>
      <c r="J4" s="5" t="s">
        <v>47</v>
      </c>
    </row>
    <row r="5" spans="1:10" ht="14.4" x14ac:dyDescent="0.3">
      <c r="A5" s="3" t="s">
        <v>46</v>
      </c>
      <c r="D5" s="6" t="s">
        <v>3</v>
      </c>
      <c r="E5" s="6" t="s">
        <v>5</v>
      </c>
      <c r="F5" s="6" t="s">
        <v>6</v>
      </c>
      <c r="G5" s="6" t="s">
        <v>36</v>
      </c>
      <c r="H5" s="6" t="s">
        <v>7</v>
      </c>
      <c r="I5" s="6" t="s">
        <v>48</v>
      </c>
      <c r="J5" s="6" t="s">
        <v>2</v>
      </c>
    </row>
    <row r="6" spans="1:10" ht="14.4" x14ac:dyDescent="0.3">
      <c r="A6" s="3" t="s">
        <v>43</v>
      </c>
      <c r="D6" s="8" t="s">
        <v>1</v>
      </c>
      <c r="E6" s="8">
        <v>1</v>
      </c>
      <c r="F6" s="8"/>
      <c r="G6" s="8"/>
      <c r="H6" s="8"/>
      <c r="I6" s="9"/>
      <c r="J6" s="11" t="e">
        <f>E6*$G6*255.5/I6*(F6/$H6)^0.6</f>
        <v>#DIV/0!</v>
      </c>
    </row>
    <row r="7" spans="1:10" ht="14.4" x14ac:dyDescent="0.3">
      <c r="A7" s="3" t="s">
        <v>44</v>
      </c>
      <c r="D7" s="9" t="s">
        <v>21</v>
      </c>
      <c r="E7" s="9">
        <v>1</v>
      </c>
      <c r="F7" s="9"/>
      <c r="G7" s="9"/>
      <c r="H7" s="9"/>
      <c r="I7" s="9"/>
      <c r="J7" s="11" t="e">
        <f t="shared" ref="J7:J18" si="0">E7*$G7*255.5/I7*(F7/$H7)^0.6</f>
        <v>#DIV/0!</v>
      </c>
    </row>
    <row r="8" spans="1:10" ht="14.4" x14ac:dyDescent="0.3">
      <c r="A8" s="3" t="s">
        <v>45</v>
      </c>
      <c r="D8" s="9" t="s">
        <v>22</v>
      </c>
      <c r="E8" s="9">
        <v>2</v>
      </c>
      <c r="F8" s="9"/>
      <c r="G8" s="9"/>
      <c r="H8" s="9"/>
      <c r="I8" s="9"/>
      <c r="J8" s="11" t="e">
        <f t="shared" si="0"/>
        <v>#DIV/0!</v>
      </c>
    </row>
    <row r="9" spans="1:10" x14ac:dyDescent="0.25">
      <c r="D9" s="9" t="s">
        <v>8</v>
      </c>
      <c r="E9" s="9">
        <v>1</v>
      </c>
      <c r="F9" s="9"/>
      <c r="G9" s="9"/>
      <c r="H9" s="9"/>
      <c r="I9" s="9"/>
      <c r="J9" s="11" t="e">
        <f t="shared" si="0"/>
        <v>#DIV/0!</v>
      </c>
    </row>
    <row r="10" spans="1:10" x14ac:dyDescent="0.25">
      <c r="D10" s="9" t="s">
        <v>9</v>
      </c>
      <c r="E10" s="9">
        <v>1</v>
      </c>
      <c r="F10" s="9"/>
      <c r="G10" s="9"/>
      <c r="H10" s="9"/>
      <c r="I10" s="9"/>
      <c r="J10" s="11" t="e">
        <f t="shared" si="0"/>
        <v>#DIV/0!</v>
      </c>
    </row>
    <row r="11" spans="1:10" x14ac:dyDescent="0.25">
      <c r="D11" s="9" t="s">
        <v>28</v>
      </c>
      <c r="E11" s="9">
        <v>1</v>
      </c>
      <c r="F11" s="9"/>
      <c r="G11" s="9"/>
      <c r="H11" s="9"/>
      <c r="I11" s="9"/>
      <c r="J11" s="11" t="e">
        <f>E11*$G11*255.5/I11*(F11/$H11)^0.6</f>
        <v>#DIV/0!</v>
      </c>
    </row>
    <row r="12" spans="1:10" x14ac:dyDescent="0.25">
      <c r="D12" s="9" t="s">
        <v>16</v>
      </c>
      <c r="E12" s="9">
        <v>2</v>
      </c>
      <c r="F12" s="9"/>
      <c r="G12" s="9"/>
      <c r="H12" s="9"/>
      <c r="I12" s="9"/>
      <c r="J12" s="11" t="e">
        <f t="shared" si="0"/>
        <v>#DIV/0!</v>
      </c>
    </row>
    <row r="13" spans="1:10" x14ac:dyDescent="0.25">
      <c r="D13" s="9" t="s">
        <v>17</v>
      </c>
      <c r="E13" s="9">
        <v>1</v>
      </c>
      <c r="F13" s="9"/>
      <c r="G13" s="9"/>
      <c r="H13" s="9"/>
      <c r="I13" s="9"/>
      <c r="J13" s="11" t="e">
        <f t="shared" si="0"/>
        <v>#DIV/0!</v>
      </c>
    </row>
    <row r="14" spans="1:10" x14ac:dyDescent="0.25">
      <c r="D14" s="9" t="s">
        <v>18</v>
      </c>
      <c r="E14" s="9">
        <v>1</v>
      </c>
      <c r="F14" s="9"/>
      <c r="G14" s="9"/>
      <c r="H14" s="9"/>
      <c r="I14" s="9"/>
      <c r="J14" s="11" t="e">
        <f t="shared" si="0"/>
        <v>#DIV/0!</v>
      </c>
    </row>
    <row r="15" spans="1:10" x14ac:dyDescent="0.25">
      <c r="D15" s="9" t="s">
        <v>19</v>
      </c>
      <c r="E15" s="9">
        <v>1</v>
      </c>
      <c r="F15" s="9"/>
      <c r="G15" s="9"/>
      <c r="H15" s="9"/>
      <c r="I15" s="9"/>
      <c r="J15" s="11" t="e">
        <f t="shared" si="0"/>
        <v>#DIV/0!</v>
      </c>
    </row>
    <row r="16" spans="1:10" x14ac:dyDescent="0.25">
      <c r="D16" s="9" t="s">
        <v>20</v>
      </c>
      <c r="E16" s="9">
        <v>1</v>
      </c>
      <c r="F16" s="9"/>
      <c r="G16" s="9"/>
      <c r="H16" s="9"/>
      <c r="I16" s="9"/>
      <c r="J16" s="11" t="e">
        <f t="shared" si="0"/>
        <v>#DIV/0!</v>
      </c>
    </row>
    <row r="17" spans="4:10" x14ac:dyDescent="0.25">
      <c r="D17" s="9" t="s">
        <v>31</v>
      </c>
      <c r="E17" s="9">
        <v>1</v>
      </c>
      <c r="F17" s="9"/>
      <c r="G17" s="9"/>
      <c r="H17" s="9"/>
      <c r="I17" s="9"/>
      <c r="J17" s="11" t="e">
        <f t="shared" si="0"/>
        <v>#DIV/0!</v>
      </c>
    </row>
    <row r="18" spans="4:10" x14ac:dyDescent="0.25">
      <c r="D18" s="10" t="s">
        <v>49</v>
      </c>
      <c r="E18" s="10"/>
      <c r="F18" s="10"/>
      <c r="G18" s="10"/>
      <c r="H18" s="10"/>
      <c r="I18" s="10"/>
      <c r="J18" s="11" t="e">
        <f t="shared" si="0"/>
        <v>#DIV/0!</v>
      </c>
    </row>
    <row r="19" spans="4:10" x14ac:dyDescent="0.25">
      <c r="D19" s="7" t="s">
        <v>13</v>
      </c>
      <c r="E19" s="7" t="s">
        <v>39</v>
      </c>
      <c r="F19" s="7" t="s">
        <v>12</v>
      </c>
      <c r="G19" s="7" t="s">
        <v>37</v>
      </c>
      <c r="H19" s="7" t="s">
        <v>35</v>
      </c>
      <c r="I19" s="7" t="s">
        <v>38</v>
      </c>
      <c r="J19" s="11"/>
    </row>
    <row r="20" spans="4:10" x14ac:dyDescent="0.25">
      <c r="D20" s="1" t="s">
        <v>23</v>
      </c>
      <c r="F20" s="1" t="s">
        <v>14</v>
      </c>
      <c r="H20" s="1">
        <v>1</v>
      </c>
      <c r="I20" s="11">
        <f t="shared" ref="I20:I29" si="1">E20*$G20/H20</f>
        <v>0</v>
      </c>
    </row>
    <row r="21" spans="4:10" x14ac:dyDescent="0.25">
      <c r="D21" s="1" t="s">
        <v>24</v>
      </c>
      <c r="F21" s="1" t="s">
        <v>14</v>
      </c>
      <c r="H21" s="1">
        <v>1</v>
      </c>
      <c r="I21" s="11">
        <f t="shared" si="1"/>
        <v>0</v>
      </c>
    </row>
    <row r="22" spans="4:10" x14ac:dyDescent="0.25">
      <c r="D22" s="1" t="s">
        <v>26</v>
      </c>
      <c r="F22" s="1" t="s">
        <v>14</v>
      </c>
      <c r="H22" s="1">
        <v>1</v>
      </c>
      <c r="I22" s="11">
        <f t="shared" si="1"/>
        <v>0</v>
      </c>
    </row>
    <row r="23" spans="4:10" x14ac:dyDescent="0.25">
      <c r="D23" s="1" t="s">
        <v>25</v>
      </c>
      <c r="F23" s="1" t="s">
        <v>14</v>
      </c>
      <c r="H23" s="1">
        <v>1</v>
      </c>
      <c r="I23" s="11">
        <f t="shared" si="1"/>
        <v>0</v>
      </c>
    </row>
    <row r="24" spans="4:10" x14ac:dyDescent="0.25">
      <c r="D24" s="1" t="s">
        <v>27</v>
      </c>
      <c r="F24" s="1" t="s">
        <v>14</v>
      </c>
      <c r="H24" s="1">
        <v>1</v>
      </c>
      <c r="I24" s="11">
        <f t="shared" si="1"/>
        <v>0</v>
      </c>
    </row>
    <row r="25" spans="4:10" x14ac:dyDescent="0.25">
      <c r="D25" s="1" t="s">
        <v>29</v>
      </c>
      <c r="F25" s="1" t="s">
        <v>14</v>
      </c>
      <c r="H25" s="1">
        <v>1</v>
      </c>
      <c r="I25" s="11">
        <f t="shared" si="1"/>
        <v>0</v>
      </c>
    </row>
    <row r="26" spans="4:10" x14ac:dyDescent="0.25">
      <c r="D26" s="1" t="s">
        <v>32</v>
      </c>
      <c r="F26" s="1" t="s">
        <v>14</v>
      </c>
      <c r="H26" s="1">
        <v>1</v>
      </c>
      <c r="I26" s="11">
        <f t="shared" si="1"/>
        <v>0</v>
      </c>
    </row>
    <row r="27" spans="4:10" x14ac:dyDescent="0.25">
      <c r="D27" s="1" t="s">
        <v>33</v>
      </c>
      <c r="F27" s="1" t="s">
        <v>14</v>
      </c>
      <c r="H27" s="1">
        <v>1</v>
      </c>
      <c r="I27" s="11">
        <f t="shared" si="1"/>
        <v>0</v>
      </c>
    </row>
    <row r="28" spans="4:10" x14ac:dyDescent="0.25">
      <c r="D28" s="1" t="s">
        <v>34</v>
      </c>
      <c r="F28" s="1" t="s">
        <v>14</v>
      </c>
      <c r="H28" s="1">
        <v>1</v>
      </c>
      <c r="I28" s="11">
        <f t="shared" si="1"/>
        <v>0</v>
      </c>
    </row>
    <row r="29" spans="4:10" x14ac:dyDescent="0.25">
      <c r="D29" s="1" t="s">
        <v>30</v>
      </c>
      <c r="F29" s="1" t="s">
        <v>15</v>
      </c>
      <c r="H29" s="1">
        <v>1</v>
      </c>
      <c r="I29" s="11">
        <f t="shared" si="1"/>
        <v>0</v>
      </c>
    </row>
  </sheetData>
  <mergeCells count="1">
    <mergeCell ref="G4:I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63A1-963E-4C9E-9A34-343B4C139B41}">
  <sheetPr codeName="Hárok2"/>
  <dimension ref="A1:J29"/>
  <sheetViews>
    <sheetView tabSelected="1" workbookViewId="0"/>
  </sheetViews>
  <sheetFormatPr defaultRowHeight="13.8" x14ac:dyDescent="0.25"/>
  <cols>
    <col min="1" max="1" width="10.109375" style="1" bestFit="1" customWidth="1"/>
    <col min="2" max="2" width="8.88671875" style="1"/>
    <col min="3" max="4" width="18.44140625" style="1" bestFit="1" customWidth="1"/>
    <col min="5" max="5" width="15" style="1" bestFit="1" customWidth="1"/>
    <col min="6" max="6" width="13.77734375" style="1" bestFit="1" customWidth="1"/>
    <col min="7" max="7" width="18.109375" style="1" bestFit="1" customWidth="1"/>
    <col min="8" max="8" width="12" style="1" bestFit="1" customWidth="1"/>
    <col min="9" max="9" width="17.21875" style="1" bestFit="1" customWidth="1"/>
    <col min="10" max="10" width="18.44140625" style="1" bestFit="1" customWidth="1"/>
    <col min="11" max="16384" width="8.88671875" style="1"/>
  </cols>
  <sheetData>
    <row r="1" spans="1:10" x14ac:dyDescent="0.25">
      <c r="A1" s="2" t="s">
        <v>40</v>
      </c>
      <c r="B1" s="1" t="s">
        <v>50</v>
      </c>
    </row>
    <row r="2" spans="1:10" x14ac:dyDescent="0.25">
      <c r="A2" s="2" t="s">
        <v>41</v>
      </c>
      <c r="B2" s="1" t="s">
        <v>51</v>
      </c>
    </row>
    <row r="4" spans="1:10" ht="14.4" x14ac:dyDescent="0.3">
      <c r="A4" s="4" t="s">
        <v>42</v>
      </c>
      <c r="D4" s="5" t="s">
        <v>0</v>
      </c>
      <c r="E4" s="5" t="s">
        <v>4</v>
      </c>
      <c r="F4" s="5" t="s">
        <v>11</v>
      </c>
      <c r="G4" s="12" t="s">
        <v>10</v>
      </c>
      <c r="H4" s="12"/>
      <c r="I4" s="12"/>
      <c r="J4" s="5" t="s">
        <v>47</v>
      </c>
    </row>
    <row r="5" spans="1:10" ht="14.4" x14ac:dyDescent="0.3">
      <c r="A5" s="3" t="s">
        <v>46</v>
      </c>
      <c r="D5" s="6" t="s">
        <v>3</v>
      </c>
      <c r="E5" s="6" t="s">
        <v>5</v>
      </c>
      <c r="F5" s="6" t="s">
        <v>6</v>
      </c>
      <c r="G5" s="6" t="s">
        <v>36</v>
      </c>
      <c r="H5" s="6" t="s">
        <v>7</v>
      </c>
      <c r="I5" s="6" t="s">
        <v>48</v>
      </c>
      <c r="J5" s="6" t="s">
        <v>2</v>
      </c>
    </row>
    <row r="6" spans="1:10" ht="14.4" x14ac:dyDescent="0.3">
      <c r="A6" s="3" t="s">
        <v>43</v>
      </c>
      <c r="D6" s="8" t="s">
        <v>1</v>
      </c>
      <c r="E6" s="8">
        <v>1</v>
      </c>
      <c r="F6" s="8"/>
      <c r="G6" s="8">
        <f>Template!$G$6</f>
        <v>0</v>
      </c>
      <c r="H6" s="8">
        <f>Template!$H$6</f>
        <v>0</v>
      </c>
      <c r="I6" s="9">
        <f>Template!$I$6</f>
        <v>0</v>
      </c>
      <c r="J6" s="11" t="e">
        <f>E6*$G6*255.5/I6*(F6/$H6)^0.6</f>
        <v>#DIV/0!</v>
      </c>
    </row>
    <row r="7" spans="1:10" ht="14.4" x14ac:dyDescent="0.3">
      <c r="A7" s="3" t="s">
        <v>44</v>
      </c>
      <c r="D7" s="9" t="s">
        <v>21</v>
      </c>
      <c r="E7" s="9">
        <v>1</v>
      </c>
      <c r="F7" s="9"/>
      <c r="G7" s="9">
        <f>Template!$G$7</f>
        <v>0</v>
      </c>
      <c r="H7" s="9">
        <f>Template!$H$7</f>
        <v>0</v>
      </c>
      <c r="I7" s="9">
        <f>Template!$I$7</f>
        <v>0</v>
      </c>
      <c r="J7" s="11" t="e">
        <f t="shared" ref="J7:J18" si="0">E7*$G7*255.5/I7*(F7/$H7)^0.6</f>
        <v>#DIV/0!</v>
      </c>
    </row>
    <row r="8" spans="1:10" ht="14.4" x14ac:dyDescent="0.3">
      <c r="A8" s="3" t="s">
        <v>45</v>
      </c>
      <c r="D8" s="9" t="s">
        <v>22</v>
      </c>
      <c r="E8" s="9">
        <v>2</v>
      </c>
      <c r="F8" s="9"/>
      <c r="G8" s="9">
        <f>Template!$G$8</f>
        <v>0</v>
      </c>
      <c r="H8" s="9">
        <f>Template!$H$8</f>
        <v>0</v>
      </c>
      <c r="I8" s="9">
        <f>Template!$I$8</f>
        <v>0</v>
      </c>
      <c r="J8" s="11" t="e">
        <f t="shared" si="0"/>
        <v>#DIV/0!</v>
      </c>
    </row>
    <row r="9" spans="1:10" x14ac:dyDescent="0.25">
      <c r="D9" s="9" t="s">
        <v>8</v>
      </c>
      <c r="E9" s="9">
        <v>1</v>
      </c>
      <c r="F9" s="9"/>
      <c r="G9" s="9">
        <f>Template!$G$9</f>
        <v>0</v>
      </c>
      <c r="H9" s="9">
        <f>Template!$H$9</f>
        <v>0</v>
      </c>
      <c r="I9" s="9">
        <f>Template!$I$9</f>
        <v>0</v>
      </c>
      <c r="J9" s="11" t="e">
        <f t="shared" si="0"/>
        <v>#DIV/0!</v>
      </c>
    </row>
    <row r="10" spans="1:10" x14ac:dyDescent="0.25">
      <c r="D10" s="9" t="s">
        <v>9</v>
      </c>
      <c r="E10" s="9">
        <v>1</v>
      </c>
      <c r="F10" s="9"/>
      <c r="G10" s="9">
        <f>Template!$G$10</f>
        <v>0</v>
      </c>
      <c r="H10" s="9">
        <f>Template!$H$10</f>
        <v>0</v>
      </c>
      <c r="I10" s="9">
        <f>Template!$I$10</f>
        <v>0</v>
      </c>
      <c r="J10" s="11" t="e">
        <f t="shared" si="0"/>
        <v>#DIV/0!</v>
      </c>
    </row>
    <row r="11" spans="1:10" x14ac:dyDescent="0.25">
      <c r="D11" s="9" t="s">
        <v>28</v>
      </c>
      <c r="E11" s="9">
        <v>1</v>
      </c>
      <c r="F11" s="9">
        <v>1</v>
      </c>
      <c r="G11" s="9">
        <v>50000</v>
      </c>
      <c r="H11" s="9">
        <v>1</v>
      </c>
      <c r="I11" s="9">
        <v>255.5</v>
      </c>
      <c r="J11" s="11">
        <f>E11*$G11*255.5/I11*(F11/$H11)^0.6</f>
        <v>50000</v>
      </c>
    </row>
    <row r="12" spans="1:10" x14ac:dyDescent="0.25">
      <c r="D12" s="9" t="s">
        <v>16</v>
      </c>
      <c r="E12" s="9">
        <v>2</v>
      </c>
      <c r="F12" s="9"/>
      <c r="G12" s="9">
        <f>Template!$G$12</f>
        <v>0</v>
      </c>
      <c r="H12" s="9">
        <f>Template!$H$12</f>
        <v>0</v>
      </c>
      <c r="I12" s="9">
        <f>Template!$I$12</f>
        <v>0</v>
      </c>
      <c r="J12" s="11" t="e">
        <f t="shared" si="0"/>
        <v>#DIV/0!</v>
      </c>
    </row>
    <row r="13" spans="1:10" x14ac:dyDescent="0.25">
      <c r="D13" s="9" t="s">
        <v>17</v>
      </c>
      <c r="E13" s="9">
        <v>1</v>
      </c>
      <c r="F13" s="9"/>
      <c r="G13" s="9">
        <f>Template!$G$13</f>
        <v>0</v>
      </c>
      <c r="H13" s="9">
        <f>Template!$H$13</f>
        <v>0</v>
      </c>
      <c r="I13" s="9">
        <f>Template!$I$13</f>
        <v>0</v>
      </c>
      <c r="J13" s="11" t="e">
        <f t="shared" si="0"/>
        <v>#DIV/0!</v>
      </c>
    </row>
    <row r="14" spans="1:10" x14ac:dyDescent="0.25">
      <c r="D14" s="9" t="s">
        <v>18</v>
      </c>
      <c r="E14" s="9">
        <v>1</v>
      </c>
      <c r="F14" s="9"/>
      <c r="G14" s="9">
        <f>Template!$G$14</f>
        <v>0</v>
      </c>
      <c r="H14" s="9">
        <f>Template!$H$14</f>
        <v>0</v>
      </c>
      <c r="I14" s="9">
        <f>Template!$I$14</f>
        <v>0</v>
      </c>
      <c r="J14" s="11" t="e">
        <f t="shared" si="0"/>
        <v>#DIV/0!</v>
      </c>
    </row>
    <row r="15" spans="1:10" x14ac:dyDescent="0.25">
      <c r="D15" s="9" t="s">
        <v>19</v>
      </c>
      <c r="E15" s="9">
        <v>1</v>
      </c>
      <c r="F15" s="9"/>
      <c r="G15" s="9">
        <f>Template!$G$15</f>
        <v>0</v>
      </c>
      <c r="H15" s="9">
        <f>Template!$H$15</f>
        <v>0</v>
      </c>
      <c r="I15" s="9">
        <f>Template!$I$15</f>
        <v>0</v>
      </c>
      <c r="J15" s="11" t="e">
        <f t="shared" si="0"/>
        <v>#DIV/0!</v>
      </c>
    </row>
    <row r="16" spans="1:10" x14ac:dyDescent="0.25">
      <c r="D16" s="9" t="s">
        <v>20</v>
      </c>
      <c r="E16" s="9">
        <v>1</v>
      </c>
      <c r="F16" s="9"/>
      <c r="G16" s="9">
        <f>Template!$G$16</f>
        <v>0</v>
      </c>
      <c r="H16" s="9">
        <f>Template!$H$16</f>
        <v>0</v>
      </c>
      <c r="I16" s="9">
        <f>Template!$I$16</f>
        <v>0</v>
      </c>
      <c r="J16" s="11" t="e">
        <f t="shared" si="0"/>
        <v>#DIV/0!</v>
      </c>
    </row>
    <row r="17" spans="4:10" x14ac:dyDescent="0.25">
      <c r="D17" s="9" t="s">
        <v>31</v>
      </c>
      <c r="E17" s="9">
        <v>1</v>
      </c>
      <c r="F17" s="9"/>
      <c r="G17" s="9">
        <f>Template!$G$17</f>
        <v>0</v>
      </c>
      <c r="H17" s="9">
        <f>Template!$H$17</f>
        <v>0</v>
      </c>
      <c r="I17" s="9">
        <f>Template!$I$17</f>
        <v>0</v>
      </c>
      <c r="J17" s="11" t="e">
        <f t="shared" si="0"/>
        <v>#DIV/0!</v>
      </c>
    </row>
    <row r="18" spans="4:10" x14ac:dyDescent="0.25">
      <c r="D18" s="10" t="s">
        <v>49</v>
      </c>
      <c r="E18" s="10"/>
      <c r="F18" s="10"/>
      <c r="G18" s="10"/>
      <c r="H18" s="10"/>
      <c r="I18" s="10"/>
      <c r="J18" s="11" t="e">
        <f t="shared" si="0"/>
        <v>#DIV/0!</v>
      </c>
    </row>
    <row r="19" spans="4:10" x14ac:dyDescent="0.25">
      <c r="D19" s="7" t="s">
        <v>13</v>
      </c>
      <c r="E19" s="7" t="s">
        <v>39</v>
      </c>
      <c r="F19" s="7" t="s">
        <v>12</v>
      </c>
      <c r="G19" s="7" t="s">
        <v>37</v>
      </c>
      <c r="H19" s="7" t="s">
        <v>35</v>
      </c>
      <c r="I19" s="7" t="s">
        <v>38</v>
      </c>
      <c r="J19" s="11"/>
    </row>
    <row r="20" spans="4:10" x14ac:dyDescent="0.25">
      <c r="D20" s="1" t="s">
        <v>23</v>
      </c>
      <c r="F20" s="1" t="s">
        <v>14</v>
      </c>
      <c r="G20" s="1">
        <f>Template!$G$20</f>
        <v>0</v>
      </c>
      <c r="H20" s="1">
        <v>1</v>
      </c>
      <c r="I20" s="11">
        <f t="shared" ref="I20:I29" si="1">E20*$G20/H20</f>
        <v>0</v>
      </c>
    </row>
    <row r="21" spans="4:10" x14ac:dyDescent="0.25">
      <c r="D21" s="1" t="s">
        <v>24</v>
      </c>
      <c r="F21" s="1" t="s">
        <v>14</v>
      </c>
      <c r="G21" s="1">
        <f>Template!$G$21</f>
        <v>0</v>
      </c>
      <c r="H21" s="1">
        <v>1</v>
      </c>
      <c r="I21" s="11">
        <f t="shared" si="1"/>
        <v>0</v>
      </c>
    </row>
    <row r="22" spans="4:10" x14ac:dyDescent="0.25">
      <c r="D22" s="1" t="s">
        <v>26</v>
      </c>
      <c r="F22" s="1" t="s">
        <v>14</v>
      </c>
      <c r="G22" s="1">
        <f>Template!$G$22</f>
        <v>0</v>
      </c>
      <c r="H22" s="1">
        <v>1</v>
      </c>
      <c r="I22" s="11">
        <f t="shared" si="1"/>
        <v>0</v>
      </c>
    </row>
    <row r="23" spans="4:10" x14ac:dyDescent="0.25">
      <c r="D23" s="1" t="s">
        <v>25</v>
      </c>
      <c r="F23" s="1" t="s">
        <v>14</v>
      </c>
      <c r="G23" s="1">
        <f>Template!$G$23</f>
        <v>0</v>
      </c>
      <c r="H23" s="1">
        <v>1</v>
      </c>
      <c r="I23" s="11">
        <f t="shared" si="1"/>
        <v>0</v>
      </c>
    </row>
    <row r="24" spans="4:10" x14ac:dyDescent="0.25">
      <c r="D24" s="1" t="s">
        <v>27</v>
      </c>
      <c r="F24" s="1" t="s">
        <v>14</v>
      </c>
      <c r="G24" s="1">
        <f>Template!$G$24</f>
        <v>0</v>
      </c>
      <c r="H24" s="1">
        <v>1</v>
      </c>
      <c r="I24" s="11">
        <f t="shared" si="1"/>
        <v>0</v>
      </c>
    </row>
    <row r="25" spans="4:10" x14ac:dyDescent="0.25">
      <c r="D25" s="1" t="s">
        <v>29</v>
      </c>
      <c r="E25" s="1">
        <v>1</v>
      </c>
      <c r="F25" s="1" t="s">
        <v>14</v>
      </c>
      <c r="G25" s="1">
        <v>5000</v>
      </c>
      <c r="H25" s="1">
        <v>7920</v>
      </c>
      <c r="I25" s="11">
        <f t="shared" si="1"/>
        <v>0.63131313131313127</v>
      </c>
    </row>
    <row r="26" spans="4:10" x14ac:dyDescent="0.25">
      <c r="D26" s="1" t="s">
        <v>32</v>
      </c>
      <c r="F26" s="1" t="s">
        <v>14</v>
      </c>
      <c r="G26" s="1">
        <f>Template!$G$26</f>
        <v>0</v>
      </c>
      <c r="H26" s="1">
        <v>1</v>
      </c>
      <c r="I26" s="11">
        <f t="shared" si="1"/>
        <v>0</v>
      </c>
    </row>
    <row r="27" spans="4:10" x14ac:dyDescent="0.25">
      <c r="D27" s="1" t="s">
        <v>33</v>
      </c>
      <c r="F27" s="1" t="s">
        <v>14</v>
      </c>
      <c r="G27" s="1">
        <f>Template!$G$27</f>
        <v>0</v>
      </c>
      <c r="H27" s="1">
        <v>1</v>
      </c>
      <c r="I27" s="11">
        <f t="shared" si="1"/>
        <v>0</v>
      </c>
    </row>
    <row r="28" spans="4:10" x14ac:dyDescent="0.25">
      <c r="D28" s="1" t="s">
        <v>34</v>
      </c>
      <c r="F28" s="1" t="s">
        <v>14</v>
      </c>
      <c r="G28" s="1">
        <f>Template!$G$28</f>
        <v>0</v>
      </c>
      <c r="H28" s="1">
        <v>1</v>
      </c>
      <c r="I28" s="11">
        <f t="shared" si="1"/>
        <v>0</v>
      </c>
    </row>
    <row r="29" spans="4:10" x14ac:dyDescent="0.25">
      <c r="D29" s="1" t="s">
        <v>30</v>
      </c>
      <c r="F29" s="1" t="s">
        <v>15</v>
      </c>
      <c r="G29" s="1">
        <f>Template!$G$29</f>
        <v>0</v>
      </c>
      <c r="H29" s="1">
        <v>1</v>
      </c>
      <c r="I29" s="11">
        <f t="shared" si="1"/>
        <v>0</v>
      </c>
    </row>
  </sheetData>
  <mergeCells count="1">
    <mergeCell ref="G4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2</vt:i4>
      </vt:variant>
    </vt:vector>
  </HeadingPairs>
  <TitlesOfParts>
    <vt:vector size="2" baseType="lpstr">
      <vt:lpstr>Template</vt:lpstr>
      <vt:lpstr>Run1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Rosa</dc:creator>
  <cp:lastModifiedBy>Igor Rosa</cp:lastModifiedBy>
  <dcterms:created xsi:type="dcterms:W3CDTF">2019-12-12T20:58:09Z</dcterms:created>
  <dcterms:modified xsi:type="dcterms:W3CDTF">2019-12-15T20:12:36Z</dcterms:modified>
</cp:coreProperties>
</file>